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oud\Jupyter\mapas\erbs_antigravity\"/>
    </mc:Choice>
  </mc:AlternateContent>
  <xr:revisionPtr revIDLastSave="0" documentId="13_ncr:1_{78A0E6AB-CC99-41AB-BDAB-7D2F837C32F7}" xr6:coauthVersionLast="47" xr6:coauthVersionMax="47" xr10:uidLastSave="{00000000-0000-0000-0000-000000000000}"/>
  <bookViews>
    <workbookView xWindow="28680" yWindow="-120" windowWidth="29040" windowHeight="15720" xr2:uid="{77A9EB91-084E-41F0-9362-360C11BD8D20}"/>
  </bookViews>
  <sheets>
    <sheet name="tbl_antenas" sheetId="1" r:id="rId1"/>
  </sheets>
  <definedNames>
    <definedName name="_xlnm._FilterDatabase" localSheetId="0" hidden="1">tbl_antenas!$A$1:$R$1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" i="1" l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C2" i="1"/>
  <c r="D2" i="1"/>
  <c r="C3" i="1"/>
  <c r="D3" i="1"/>
  <c r="C4" i="1"/>
  <c r="D4" i="1"/>
  <c r="C5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Evandro Rodrigues</author>
  </authors>
  <commentList>
    <comment ref="D1" authorId="0" shapeId="0" xr:uid="{DDF11385-B03A-4BB8-8772-554BB445427B}">
      <text>
        <r>
          <rPr>
            <b/>
            <sz val="9"/>
            <color indexed="81"/>
            <rFont val="Tahoma"/>
            <family val="2"/>
          </rPr>
          <t>Evandro Rodrigues:</t>
        </r>
        <r>
          <rPr>
            <sz val="9"/>
            <color indexed="81"/>
            <rFont val="Tahoma"/>
            <family val="2"/>
          </rPr>
          <t xml:space="preserve">
LOCATION</t>
        </r>
      </text>
    </comment>
    <comment ref="E1" authorId="0" shapeId="0" xr:uid="{D34F0FCC-B0F7-4562-9CA6-3BE051F4E96C}">
      <text>
        <r>
          <rPr>
            <b/>
            <sz val="9"/>
            <color indexed="81"/>
            <rFont val="Tahoma"/>
            <family val="2"/>
          </rPr>
          <t>Evandro Rodrigues:</t>
        </r>
        <r>
          <rPr>
            <sz val="9"/>
            <color indexed="81"/>
            <rFont val="Tahoma"/>
            <family val="2"/>
          </rPr>
          <t xml:space="preserve">
DIRECAO</t>
        </r>
      </text>
    </comment>
    <comment ref="F1" authorId="0" shapeId="0" xr:uid="{14417435-4563-4113-89EC-732D66B66EAB}">
      <text>
        <r>
          <rPr>
            <b/>
            <sz val="9"/>
            <color indexed="81"/>
            <rFont val="Tahoma"/>
            <family val="2"/>
          </rPr>
          <t>Evandro Rodrigues:</t>
        </r>
        <r>
          <rPr>
            <sz val="9"/>
            <color indexed="81"/>
            <rFont val="Tahoma"/>
            <family val="2"/>
          </rPr>
          <t xml:space="preserve">
RADIUS</t>
        </r>
      </text>
    </comment>
    <comment ref="G1" authorId="0" shapeId="0" xr:uid="{E25B7510-85CA-47DE-80B8-D1DADDD8D21A}">
      <text>
        <r>
          <rPr>
            <b/>
            <sz val="9"/>
            <color indexed="81"/>
            <rFont val="Tahoma"/>
            <family val="2"/>
          </rPr>
          <t>Evandro Rodrigues:</t>
        </r>
        <r>
          <rPr>
            <sz val="9"/>
            <color indexed="81"/>
            <rFont val="Tahoma"/>
            <family val="2"/>
          </rPr>
          <t xml:space="preserve">
ARC</t>
        </r>
      </text>
    </comment>
  </commentList>
</comments>
</file>

<file path=xl/sharedStrings.xml><?xml version="1.0" encoding="utf-8"?>
<sst xmlns="http://schemas.openxmlformats.org/spreadsheetml/2006/main" count="168" uniqueCount="50">
  <si>
    <t>PONTO</t>
  </si>
  <si>
    <t>LATITUDE</t>
  </si>
  <si>
    <t>LONGITUDE</t>
  </si>
  <si>
    <t>CRIME</t>
  </si>
  <si>
    <t>OPACITY</t>
  </si>
  <si>
    <t>C01157</t>
  </si>
  <si>
    <t>C01158</t>
  </si>
  <si>
    <t>C01159</t>
  </si>
  <si>
    <t>C01160</t>
  </si>
  <si>
    <t>Quadrilha</t>
  </si>
  <si>
    <t>28/03/2021</t>
  </si>
  <si>
    <t>28/03/2022</t>
  </si>
  <si>
    <t>28/03/2023</t>
  </si>
  <si>
    <t>28/03/2024</t>
  </si>
  <si>
    <t>AZIMUTE</t>
  </si>
  <si>
    <t>RAIO</t>
  </si>
  <si>
    <t>NOME</t>
  </si>
  <si>
    <t>DISTANCIA</t>
  </si>
  <si>
    <t>BORDA</t>
  </si>
  <si>
    <t>PREENCHIMENTO</t>
  </si>
  <si>
    <t>#FF0000</t>
  </si>
  <si>
    <t>#FFFF00</t>
  </si>
  <si>
    <t>DESCRICAO</t>
  </si>
  <si>
    <t>PLOTAR</t>
  </si>
  <si>
    <t>SIM</t>
  </si>
  <si>
    <t>NAO</t>
  </si>
  <si>
    <t>HORA</t>
  </si>
  <si>
    <t>DATA</t>
  </si>
  <si>
    <t>COORDENADAS</t>
  </si>
  <si>
    <t>-20.171190722553277, -44.91436279836767</t>
  </si>
  <si>
    <t>-20.163778438283114, -44.87784184300386</t>
  </si>
  <si>
    <t>-20.13203054304641, -44.88852776313928</t>
  </si>
  <si>
    <t>-20.13650303547948, -44.87028874317024</t>
  </si>
  <si>
    <t>MACACO</t>
  </si>
  <si>
    <t>VERDINHO</t>
  </si>
  <si>
    <t>PEIXE GATO</t>
  </si>
  <si>
    <t>OPERADORA</t>
  </si>
  <si>
    <t>VIVO</t>
  </si>
  <si>
    <t>ALGAR</t>
  </si>
  <si>
    <t>TIM</t>
  </si>
  <si>
    <t>CLARO</t>
  </si>
  <si>
    <t>TECNOLOGIA</t>
  </si>
  <si>
    <t>H+</t>
  </si>
  <si>
    <t>GSM</t>
  </si>
  <si>
    <t>5G</t>
  </si>
  <si>
    <t>4G</t>
  </si>
  <si>
    <t>2G</t>
  </si>
  <si>
    <t>-20.15560034646997, -44.9139765612507</t>
  </si>
  <si>
    <t>#45204</t>
  </si>
  <si>
    <t>#FF00FF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</si>
</sst>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Open Sans"/>
      <family val="2"/>
    </font>
    <font>
      <b/>
      <sz val="8"/>
      <color theme="7"/>
      <name val="Open Sans"/>
      <family val="2"/>
    </font>
    <font>
      <b/>
      <sz val="8"/>
      <color rgb="FF00B050"/>
      <name val="Open Sans"/>
      <family val="2"/>
    </font>
    <font>
      <sz val="12"/>
      <color rgb="FF680655"/>
      <name val="Roboto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Font="1"/>
    <xf numFmtId="0" fontId="0" fillId="2" borderId="0" xfId="0" applyFont="1" applyFill="1"/>
    <xf numFmtId="0" fontId="4" fillId="0" borderId="0" xfId="0" applyFont="1" applyAlignment="1">
      <alignment horizontal="left" vertical="center"/>
    </xf>
    <xf numFmtId="0" fontId="6" fillId="0" borderId="0" xfId="0" applyFont="1" applyFill="1"/>
    <xf numFmtId="0" fontId="7" fillId="0" borderId="0" xfId="0" applyFont="1" applyFill="1"/>
    <xf numFmtId="0" fontId="5" fillId="0" borderId="0" xfId="0" applyFont="1"/>
    <xf numFmtId="0" fontId="5" fillId="2" borderId="0" xfId="0" applyFont="1" applyFill="1"/>
    <xf numFmtId="21" fontId="0" fillId="0" borderId="0" xfId="0" applyNumberFormat="1" applyFont="1"/>
    <xf numFmtId="0" fontId="8" fillId="0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806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93C1-5237-445F-A4C6-CF8FD700A1D2}">
  <dimension ref="A1:R16"/>
  <sheetViews>
    <sheetView tabSelected="1" workbookViewId="0">
      <selection activeCell="S18" sqref="S18"/>
    </sheetView>
  </sheetViews>
  <sheetFormatPr defaultRowHeight="15" x14ac:dyDescent="0.25"/>
  <cols>
    <col min="2" max="2" width="38.5703125" hidden="1" customWidth="1"/>
    <col min="3" max="3" width="29.28515625" style="1" customWidth="1"/>
    <col min="4" max="4" width="12.7109375" style="1" customWidth="1"/>
    <col min="5" max="5" width="9.140625" customWidth="1"/>
    <col min="6" max="6" width="10.28515625" style="1" bestFit="1" customWidth="1"/>
    <col min="7" max="7" width="9.140625" style="1"/>
    <col min="8" max="8" width="9.42578125" customWidth="1"/>
    <col min="9" max="9" width="14.7109375" customWidth="1"/>
    <col min="10" max="10" width="16.7109375" customWidth="1"/>
    <col min="12" max="12" width="10.5703125" bestFit="1" customWidth="1"/>
    <col min="13" max="16" width="10.5703125" customWidth="1"/>
    <col min="17" max="17" width="12.5703125" customWidth="1"/>
    <col min="18" max="18" width="16.42578125" bestFit="1" customWidth="1"/>
  </cols>
  <sheetData>
    <row r="1" spans="1:18" s="7" customFormat="1" x14ac:dyDescent="0.25">
      <c r="A1" s="7" t="s">
        <v>0</v>
      </c>
      <c r="B1" s="7" t="s">
        <v>28</v>
      </c>
      <c r="C1" s="8" t="s">
        <v>1</v>
      </c>
      <c r="D1" s="8" t="s">
        <v>2</v>
      </c>
      <c r="E1" s="7" t="s">
        <v>14</v>
      </c>
      <c r="F1" s="8" t="s">
        <v>17</v>
      </c>
      <c r="G1" s="8" t="s">
        <v>15</v>
      </c>
      <c r="H1" s="7" t="s">
        <v>4</v>
      </c>
      <c r="I1" s="7" t="s">
        <v>16</v>
      </c>
      <c r="J1" s="7" t="s">
        <v>22</v>
      </c>
      <c r="K1" s="7" t="s">
        <v>3</v>
      </c>
      <c r="L1" s="7" t="s">
        <v>27</v>
      </c>
      <c r="M1" s="7" t="s">
        <v>26</v>
      </c>
      <c r="N1" s="7" t="s">
        <v>36</v>
      </c>
      <c r="O1" s="7" t="s">
        <v>41</v>
      </c>
      <c r="P1" s="7" t="s">
        <v>23</v>
      </c>
      <c r="Q1" s="7" t="s">
        <v>18</v>
      </c>
      <c r="R1" s="7" t="s">
        <v>19</v>
      </c>
    </row>
    <row r="2" spans="1:18" x14ac:dyDescent="0.25">
      <c r="A2" s="2">
        <v>1</v>
      </c>
      <c r="B2" s="2" t="s">
        <v>29</v>
      </c>
      <c r="C2" s="3" t="str">
        <f t="shared" ref="C2:C16" si="0">LEFT(B2, FIND(",", B2) - 1)</f>
        <v>-20.171190722553277</v>
      </c>
      <c r="D2" s="3" t="str">
        <f t="shared" ref="D2:D4" si="1">TRIM(RIGHT(B2, LEN(B2) - FIND(",", B2)))</f>
        <v>-44.91436279836767</v>
      </c>
      <c r="E2" s="4">
        <v>340</v>
      </c>
      <c r="F2" s="3">
        <v>1000</v>
      </c>
      <c r="G2" s="3">
        <v>90</v>
      </c>
      <c r="H2" s="2">
        <v>0</v>
      </c>
      <c r="I2" s="2" t="s">
        <v>33</v>
      </c>
      <c r="J2" s="2" t="s">
        <v>9</v>
      </c>
      <c r="K2" s="2" t="s">
        <v>5</v>
      </c>
      <c r="L2" s="2" t="s">
        <v>10</v>
      </c>
      <c r="M2" s="9">
        <v>0.43813657407407408</v>
      </c>
      <c r="N2" s="9" t="s">
        <v>37</v>
      </c>
      <c r="O2" s="9" t="s">
        <v>42</v>
      </c>
      <c r="P2" s="2" t="s">
        <v>24</v>
      </c>
      <c r="Q2" s="5" t="s">
        <v>20</v>
      </c>
      <c r="R2" s="6" t="s">
        <v>21</v>
      </c>
    </row>
    <row r="3" spans="1:18" ht="15.75" x14ac:dyDescent="0.25">
      <c r="A3" s="2">
        <v>2</v>
      </c>
      <c r="B3" s="2" t="s">
        <v>30</v>
      </c>
      <c r="C3" s="3" t="str">
        <f t="shared" si="0"/>
        <v>-20.163778438283114</v>
      </c>
      <c r="D3" s="3" t="str">
        <f t="shared" si="1"/>
        <v>-44.87784184300386</v>
      </c>
      <c r="E3" s="4">
        <v>340</v>
      </c>
      <c r="F3" s="3">
        <v>1000</v>
      </c>
      <c r="G3" s="3">
        <v>90</v>
      </c>
      <c r="H3" s="2">
        <v>0</v>
      </c>
      <c r="I3" s="2" t="s">
        <v>34</v>
      </c>
      <c r="J3" s="2" t="s">
        <v>9</v>
      </c>
      <c r="K3" s="2" t="s">
        <v>6</v>
      </c>
      <c r="L3" s="2" t="s">
        <v>11</v>
      </c>
      <c r="M3" s="9">
        <v>0.47980324074074099</v>
      </c>
      <c r="N3" s="9" t="s">
        <v>38</v>
      </c>
      <c r="O3" s="9" t="s">
        <v>43</v>
      </c>
      <c r="P3" s="2" t="s">
        <v>24</v>
      </c>
      <c r="Q3" s="5" t="s">
        <v>20</v>
      </c>
      <c r="R3" s="11" t="s">
        <v>49</v>
      </c>
    </row>
    <row r="4" spans="1:18" ht="15.75" x14ac:dyDescent="0.25">
      <c r="A4" s="2">
        <v>3</v>
      </c>
      <c r="B4" s="7" t="s">
        <v>31</v>
      </c>
      <c r="C4" s="3" t="str">
        <f t="shared" si="0"/>
        <v>-20.13203054304641</v>
      </c>
      <c r="D4" s="3" t="str">
        <f t="shared" si="1"/>
        <v>-44.88852776313928</v>
      </c>
      <c r="E4" s="4">
        <v>150</v>
      </c>
      <c r="F4" s="3">
        <v>1000</v>
      </c>
      <c r="G4" s="3">
        <v>90</v>
      </c>
      <c r="H4" s="2">
        <v>0</v>
      </c>
      <c r="I4" s="2" t="s">
        <v>35</v>
      </c>
      <c r="J4" s="2" t="s">
        <v>9</v>
      </c>
      <c r="K4" s="2" t="s">
        <v>7</v>
      </c>
      <c r="L4" s="2" t="s">
        <v>12</v>
      </c>
      <c r="M4" s="9">
        <v>0.52146990740740695</v>
      </c>
      <c r="N4" s="9" t="s">
        <v>39</v>
      </c>
      <c r="O4" s="9" t="s">
        <v>44</v>
      </c>
      <c r="P4" s="2" t="s">
        <v>24</v>
      </c>
      <c r="Q4" s="5" t="s">
        <v>20</v>
      </c>
      <c r="R4" s="11" t="s">
        <v>49</v>
      </c>
    </row>
    <row r="5" spans="1:18" ht="15.75" x14ac:dyDescent="0.25">
      <c r="A5" s="2">
        <v>4</v>
      </c>
      <c r="B5" s="2" t="s">
        <v>32</v>
      </c>
      <c r="C5" s="3" t="str">
        <f>LEFT(B5, FIND(",", B5) - 1)</f>
        <v>-20.13650303547948</v>
      </c>
      <c r="D5" s="3" t="str">
        <f>TRIM(RIGHT(B5, LEN(B5) - FIND(",", B5)))</f>
        <v>-44.87028874317024</v>
      </c>
      <c r="E5" s="4">
        <v>150</v>
      </c>
      <c r="F5" s="3">
        <v>1000</v>
      </c>
      <c r="G5" s="3">
        <v>90</v>
      </c>
      <c r="H5" s="2">
        <v>0</v>
      </c>
      <c r="I5" s="2" t="s">
        <v>35</v>
      </c>
      <c r="J5" s="2" t="s">
        <v>9</v>
      </c>
      <c r="K5" s="2" t="s">
        <v>8</v>
      </c>
      <c r="L5" s="2" t="s">
        <v>13</v>
      </c>
      <c r="M5" s="9">
        <v>0.56313657407407403</v>
      </c>
      <c r="N5" s="9" t="s">
        <v>37</v>
      </c>
      <c r="O5" s="9" t="s">
        <v>45</v>
      </c>
      <c r="P5" s="2" t="s">
        <v>25</v>
      </c>
      <c r="Q5" s="5" t="s">
        <v>20</v>
      </c>
      <c r="R5" s="11" t="s">
        <v>49</v>
      </c>
    </row>
    <row r="6" spans="1:18" ht="15.75" x14ac:dyDescent="0.25">
      <c r="A6" s="2">
        <v>1</v>
      </c>
      <c r="B6" s="2" t="s">
        <v>29</v>
      </c>
      <c r="C6" s="3" t="str">
        <f t="shared" si="0"/>
        <v>-20.171190722553277</v>
      </c>
      <c r="D6" s="3" t="str">
        <f t="shared" ref="D6:D8" si="2">TRIM(RIGHT(B6, LEN(B6) - FIND(",", B6)))</f>
        <v>-44.91436279836767</v>
      </c>
      <c r="E6" s="4">
        <v>340</v>
      </c>
      <c r="F6" s="3">
        <v>1000</v>
      </c>
      <c r="G6" s="3">
        <v>90</v>
      </c>
      <c r="H6" s="2">
        <v>0</v>
      </c>
      <c r="I6" s="2" t="s">
        <v>33</v>
      </c>
      <c r="J6" s="2" t="s">
        <v>9</v>
      </c>
      <c r="K6" s="2" t="s">
        <v>5</v>
      </c>
      <c r="L6" s="2" t="s">
        <v>10</v>
      </c>
      <c r="M6" s="9">
        <v>0.43813657407407408</v>
      </c>
      <c r="N6" s="9" t="s">
        <v>38</v>
      </c>
      <c r="O6" s="9" t="s">
        <v>46</v>
      </c>
      <c r="P6" s="2" t="s">
        <v>24</v>
      </c>
      <c r="Q6" s="5" t="s">
        <v>20</v>
      </c>
      <c r="R6" s="11" t="s">
        <v>49</v>
      </c>
    </row>
    <row r="7" spans="1:18" ht="15.75" x14ac:dyDescent="0.25">
      <c r="A7" s="2">
        <v>2</v>
      </c>
      <c r="B7" s="2" t="s">
        <v>30</v>
      </c>
      <c r="C7" s="3" t="str">
        <f t="shared" si="0"/>
        <v>-20.163778438283114</v>
      </c>
      <c r="D7" s="3" t="str">
        <f t="shared" si="2"/>
        <v>-44.87784184300386</v>
      </c>
      <c r="E7" s="4">
        <v>340</v>
      </c>
      <c r="F7" s="3">
        <v>1000</v>
      </c>
      <c r="G7" s="3">
        <v>90</v>
      </c>
      <c r="H7" s="2">
        <v>0</v>
      </c>
      <c r="I7" s="2" t="s">
        <v>34</v>
      </c>
      <c r="J7" s="2" t="s">
        <v>9</v>
      </c>
      <c r="K7" s="2" t="s">
        <v>6</v>
      </c>
      <c r="L7" s="2" t="s">
        <v>11</v>
      </c>
      <c r="M7" s="9">
        <v>0.47980324074074099</v>
      </c>
      <c r="N7" s="9" t="s">
        <v>40</v>
      </c>
      <c r="O7" s="9" t="s">
        <v>42</v>
      </c>
      <c r="P7" s="2" t="s">
        <v>24</v>
      </c>
      <c r="Q7" s="5" t="s">
        <v>20</v>
      </c>
      <c r="R7" s="11" t="s">
        <v>49</v>
      </c>
    </row>
    <row r="8" spans="1:18" ht="15.75" x14ac:dyDescent="0.25">
      <c r="A8" s="2">
        <v>3</v>
      </c>
      <c r="B8" s="7" t="s">
        <v>31</v>
      </c>
      <c r="C8" s="3" t="str">
        <f t="shared" si="0"/>
        <v>-20.13203054304641</v>
      </c>
      <c r="D8" s="3" t="str">
        <f t="shared" si="2"/>
        <v>-44.88852776313928</v>
      </c>
      <c r="E8" s="4">
        <v>150</v>
      </c>
      <c r="F8" s="3">
        <v>1000</v>
      </c>
      <c r="G8" s="3">
        <v>90</v>
      </c>
      <c r="H8" s="2">
        <v>0</v>
      </c>
      <c r="I8" s="2" t="s">
        <v>35</v>
      </c>
      <c r="J8" s="2" t="s">
        <v>9</v>
      </c>
      <c r="K8" s="2" t="s">
        <v>7</v>
      </c>
      <c r="L8" s="2" t="s">
        <v>12</v>
      </c>
      <c r="M8" s="9">
        <v>0.52146990740740695</v>
      </c>
      <c r="N8" s="9" t="s">
        <v>40</v>
      </c>
      <c r="O8" s="9" t="s">
        <v>43</v>
      </c>
      <c r="P8" s="2" t="s">
        <v>24</v>
      </c>
      <c r="Q8" s="5" t="s">
        <v>20</v>
      </c>
      <c r="R8" s="11" t="s">
        <v>49</v>
      </c>
    </row>
    <row r="9" spans="1:18" ht="15.75" x14ac:dyDescent="0.25">
      <c r="A9" s="2">
        <v>4</v>
      </c>
      <c r="B9" s="2" t="s">
        <v>32</v>
      </c>
      <c r="C9" s="3" t="str">
        <f>LEFT(B9, FIND(",", B9) - 1)</f>
        <v>-20.13650303547948</v>
      </c>
      <c r="D9" s="3" t="str">
        <f>TRIM(RIGHT(B9, LEN(B9) - FIND(",", B9)))</f>
        <v>-44.87028874317024</v>
      </c>
      <c r="E9" s="4">
        <v>150</v>
      </c>
      <c r="F9" s="3">
        <v>1000</v>
      </c>
      <c r="G9" s="3">
        <v>90</v>
      </c>
      <c r="H9" s="2">
        <v>0</v>
      </c>
      <c r="I9" s="2" t="s">
        <v>35</v>
      </c>
      <c r="J9" s="2" t="s">
        <v>9</v>
      </c>
      <c r="K9" s="2" t="s">
        <v>8</v>
      </c>
      <c r="L9" s="2" t="s">
        <v>13</v>
      </c>
      <c r="M9" s="9">
        <v>0.56313657407407403</v>
      </c>
      <c r="N9" s="9" t="s">
        <v>39</v>
      </c>
      <c r="O9" s="9" t="s">
        <v>44</v>
      </c>
      <c r="P9" s="2" t="s">
        <v>25</v>
      </c>
      <c r="Q9" s="5" t="s">
        <v>20</v>
      </c>
      <c r="R9" s="11" t="s">
        <v>49</v>
      </c>
    </row>
    <row r="10" spans="1:18" ht="15.75" x14ac:dyDescent="0.25">
      <c r="A10" s="2">
        <v>1</v>
      </c>
      <c r="B10" s="2" t="s">
        <v>29</v>
      </c>
      <c r="C10" s="3" t="str">
        <f t="shared" si="0"/>
        <v>-20.171190722553277</v>
      </c>
      <c r="D10" s="3" t="str">
        <f t="shared" ref="D10:D12" si="3">TRIM(RIGHT(B10, LEN(B10) - FIND(",", B10)))</f>
        <v>-44.91436279836767</v>
      </c>
      <c r="E10" s="4">
        <v>340</v>
      </c>
      <c r="F10" s="3">
        <v>1000</v>
      </c>
      <c r="G10" s="3">
        <v>90</v>
      </c>
      <c r="H10" s="2">
        <v>0</v>
      </c>
      <c r="I10" s="2" t="s">
        <v>33</v>
      </c>
      <c r="J10" s="2" t="s">
        <v>9</v>
      </c>
      <c r="K10" s="2" t="s">
        <v>5</v>
      </c>
      <c r="L10" s="2" t="s">
        <v>10</v>
      </c>
      <c r="M10" s="9">
        <v>0.43813657407407408</v>
      </c>
      <c r="N10" s="9" t="s">
        <v>37</v>
      </c>
      <c r="O10" s="9" t="s">
        <v>45</v>
      </c>
      <c r="P10" s="2" t="s">
        <v>24</v>
      </c>
      <c r="Q10" s="5" t="s">
        <v>20</v>
      </c>
      <c r="R10" s="11" t="s">
        <v>49</v>
      </c>
    </row>
    <row r="11" spans="1:18" ht="15.75" x14ac:dyDescent="0.25">
      <c r="A11" s="2">
        <v>2</v>
      </c>
      <c r="B11" s="2" t="s">
        <v>30</v>
      </c>
      <c r="C11" s="3" t="str">
        <f t="shared" si="0"/>
        <v>-20.163778438283114</v>
      </c>
      <c r="D11" s="3" t="str">
        <f t="shared" si="3"/>
        <v>-44.87784184300386</v>
      </c>
      <c r="E11" s="4">
        <v>340</v>
      </c>
      <c r="F11" s="3">
        <v>1000</v>
      </c>
      <c r="G11" s="3">
        <v>90</v>
      </c>
      <c r="H11" s="2">
        <v>0</v>
      </c>
      <c r="I11" s="2" t="s">
        <v>34</v>
      </c>
      <c r="J11" s="2" t="s">
        <v>9</v>
      </c>
      <c r="K11" s="2" t="s">
        <v>6</v>
      </c>
      <c r="L11" s="2" t="s">
        <v>11</v>
      </c>
      <c r="M11" s="9">
        <v>0.47980324074074099</v>
      </c>
      <c r="N11" s="9" t="s">
        <v>37</v>
      </c>
      <c r="O11" s="9" t="s">
        <v>46</v>
      </c>
      <c r="P11" s="2" t="s">
        <v>24</v>
      </c>
      <c r="Q11" s="5" t="s">
        <v>20</v>
      </c>
      <c r="R11" s="11" t="s">
        <v>49</v>
      </c>
    </row>
    <row r="12" spans="1:18" ht="15.75" x14ac:dyDescent="0.25">
      <c r="A12" s="2">
        <v>3</v>
      </c>
      <c r="B12" s="7" t="s">
        <v>31</v>
      </c>
      <c r="C12" s="3" t="str">
        <f t="shared" si="0"/>
        <v>-20.13203054304641</v>
      </c>
      <c r="D12" s="3" t="str">
        <f t="shared" si="3"/>
        <v>-44.88852776313928</v>
      </c>
      <c r="E12" s="4">
        <v>150</v>
      </c>
      <c r="F12" s="3">
        <v>1000</v>
      </c>
      <c r="G12" s="3">
        <v>90</v>
      </c>
      <c r="H12" s="2">
        <v>0</v>
      </c>
      <c r="I12" s="2" t="s">
        <v>35</v>
      </c>
      <c r="J12" s="2" t="s">
        <v>9</v>
      </c>
      <c r="K12" s="2" t="s">
        <v>7</v>
      </c>
      <c r="L12" s="2" t="s">
        <v>12</v>
      </c>
      <c r="M12" s="9">
        <v>0.52146990740740695</v>
      </c>
      <c r="N12" s="9" t="s">
        <v>37</v>
      </c>
      <c r="O12" s="9" t="s">
        <v>42</v>
      </c>
      <c r="P12" s="2" t="s">
        <v>24</v>
      </c>
      <c r="Q12" s="5" t="s">
        <v>20</v>
      </c>
      <c r="R12" s="11" t="s">
        <v>49</v>
      </c>
    </row>
    <row r="13" spans="1:18" ht="15.75" x14ac:dyDescent="0.25">
      <c r="A13" s="2">
        <v>4</v>
      </c>
      <c r="B13" s="2" t="s">
        <v>32</v>
      </c>
      <c r="C13" s="3" t="str">
        <f>LEFT(B13, FIND(",", B13) - 1)</f>
        <v>-20.13650303547948</v>
      </c>
      <c r="D13" s="3" t="str">
        <f>TRIM(RIGHT(B13, LEN(B13) - FIND(",", B13)))</f>
        <v>-44.87028874317024</v>
      </c>
      <c r="E13" s="4">
        <v>150</v>
      </c>
      <c r="F13" s="3">
        <v>1000</v>
      </c>
      <c r="G13" s="3">
        <v>90</v>
      </c>
      <c r="H13" s="2">
        <v>0</v>
      </c>
      <c r="I13" s="2" t="s">
        <v>35</v>
      </c>
      <c r="J13" s="2" t="s">
        <v>9</v>
      </c>
      <c r="K13" s="2" t="s">
        <v>8</v>
      </c>
      <c r="L13" s="2" t="s">
        <v>13</v>
      </c>
      <c r="M13" s="9">
        <v>0.56313657407407403</v>
      </c>
      <c r="N13" s="9" t="s">
        <v>40</v>
      </c>
      <c r="O13" s="9" t="s">
        <v>43</v>
      </c>
      <c r="P13" s="2" t="s">
        <v>25</v>
      </c>
      <c r="Q13" s="5" t="s">
        <v>20</v>
      </c>
      <c r="R13" s="11" t="s">
        <v>49</v>
      </c>
    </row>
    <row r="14" spans="1:18" ht="15.75" x14ac:dyDescent="0.25">
      <c r="A14" s="2">
        <v>1</v>
      </c>
      <c r="B14" s="2" t="s">
        <v>29</v>
      </c>
      <c r="C14" s="3" t="str">
        <f t="shared" si="0"/>
        <v>-20.171190722553277</v>
      </c>
      <c r="D14" s="3" t="str">
        <f t="shared" ref="D14:D16" si="4">TRIM(RIGHT(B14, LEN(B14) - FIND(",", B14)))</f>
        <v>-44.91436279836767</v>
      </c>
      <c r="E14" s="4">
        <v>340</v>
      </c>
      <c r="F14" s="3">
        <v>1000</v>
      </c>
      <c r="G14" s="3">
        <v>90</v>
      </c>
      <c r="H14" s="2">
        <v>0</v>
      </c>
      <c r="I14" s="2" t="s">
        <v>33</v>
      </c>
      <c r="J14" s="2" t="s">
        <v>9</v>
      </c>
      <c r="K14" s="2" t="s">
        <v>5</v>
      </c>
      <c r="L14" s="2" t="s">
        <v>10</v>
      </c>
      <c r="M14" s="9">
        <v>0.43813657407407408</v>
      </c>
      <c r="N14" s="9" t="s">
        <v>38</v>
      </c>
      <c r="O14" s="9" t="s">
        <v>44</v>
      </c>
      <c r="P14" s="2" t="s">
        <v>24</v>
      </c>
      <c r="Q14" s="5" t="s">
        <v>20</v>
      </c>
      <c r="R14" s="11" t="s">
        <v>49</v>
      </c>
    </row>
    <row r="15" spans="1:18" ht="15.75" x14ac:dyDescent="0.25">
      <c r="A15" s="2">
        <v>1</v>
      </c>
      <c r="B15" s="2" t="s">
        <v>29</v>
      </c>
      <c r="C15" s="3" t="str">
        <f t="shared" si="0"/>
        <v>-20.171190722553277</v>
      </c>
      <c r="D15" s="3" t="str">
        <f t="shared" si="4"/>
        <v>-44.91436279836767</v>
      </c>
      <c r="E15" s="4">
        <v>340</v>
      </c>
      <c r="F15" s="3">
        <v>1000</v>
      </c>
      <c r="G15" s="3">
        <v>90</v>
      </c>
      <c r="H15" s="2">
        <v>0</v>
      </c>
      <c r="I15" s="2" t="s">
        <v>33</v>
      </c>
      <c r="J15" s="2" t="s">
        <v>9</v>
      </c>
      <c r="K15" s="2" t="s">
        <v>5</v>
      </c>
      <c r="L15" s="2" t="s">
        <v>10</v>
      </c>
      <c r="M15" s="9">
        <v>0.43813657407407408</v>
      </c>
      <c r="N15" s="9" t="s">
        <v>37</v>
      </c>
      <c r="O15" s="9" t="s">
        <v>45</v>
      </c>
      <c r="P15" s="2" t="s">
        <v>24</v>
      </c>
      <c r="Q15" s="5" t="s">
        <v>20</v>
      </c>
      <c r="R15" s="11" t="s">
        <v>49</v>
      </c>
    </row>
    <row r="16" spans="1:18" x14ac:dyDescent="0.25">
      <c r="B16" t="s">
        <v>47</v>
      </c>
      <c r="C16" s="3" t="str">
        <f t="shared" si="0"/>
        <v>-20.15560034646997</v>
      </c>
      <c r="D16" s="3" t="str">
        <f t="shared" si="4"/>
        <v>-44.9139765612507</v>
      </c>
      <c r="E16" s="4">
        <v>150</v>
      </c>
      <c r="F16" s="3">
        <v>1000</v>
      </c>
      <c r="G16" s="3">
        <v>90</v>
      </c>
      <c r="H16" s="2">
        <v>0</v>
      </c>
      <c r="I16" s="2" t="s">
        <v>33</v>
      </c>
      <c r="J16" s="2" t="s">
        <v>9</v>
      </c>
      <c r="K16" s="2" t="s">
        <v>5</v>
      </c>
      <c r="L16" s="2" t="s">
        <v>10</v>
      </c>
      <c r="M16" s="9">
        <v>0.43813657407407408</v>
      </c>
      <c r="N16" s="9" t="s">
        <v>37</v>
      </c>
      <c r="O16" s="9" t="s">
        <v>45</v>
      </c>
      <c r="P16" s="2" t="s">
        <v>24</v>
      </c>
      <c r="Q16" s="5" t="s">
        <v>20</v>
      </c>
      <c r="R16" s="10" t="s">
        <v>48</v>
      </c>
    </row>
  </sheetData>
  <autoFilter ref="A1:R1" xr:uid="{387893C1-5237-445F-A4C6-CF8FD700A1D2}"/>
  <phoneticPr fontId="1" type="noConversion"/>
  <pageMargins left="0.511811024" right="0.511811024" top="0.78740157499999996" bottom="0.78740157499999996" header="0.31496062000000002" footer="0.31496062000000002"/>
  <pageSetup orientation="portrait" horizontalDpi="12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tbl_antenas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</dc:creator>
  <cp:lastModifiedBy>P3 7 RPM</cp:lastModifiedBy>
  <dcterms:created xsi:type="dcterms:W3CDTF">2021-03-28T21:55:25Z</dcterms:created>
  <dcterms:modified xsi:type="dcterms:W3CDTF">2026-08-18T17:16:09Z</dcterms:modified>
</cp:coreProperties>
</file>